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ADA\Downloads\Data Analysis\Analyst lab\HealthConnect_Clinic_Experience_Lab\Wk7\"/>
    </mc:Choice>
  </mc:AlternateContent>
  <xr:revisionPtr revIDLastSave="0" documentId="13_ncr:1_{2E3EFE8E-BCA5-4238-B0DA-D517E5268296}" xr6:coauthVersionLast="47" xr6:coauthVersionMax="47" xr10:uidLastSave="{00000000-0000-0000-0000-000000000000}"/>
  <bookViews>
    <workbookView xWindow="-108" yWindow="-108" windowWidth="23256" windowHeight="13176" firstSheet="1" activeTab="6" xr2:uid="{00000000-000D-0000-FFFF-FFFF00000000}"/>
  </bookViews>
  <sheets>
    <sheet name="Summary" sheetId="1" r:id="rId1"/>
    <sheet name="KPI Validation" sheetId="2" r:id="rId2"/>
    <sheet name="Data Quality" sheetId="3" r:id="rId3"/>
    <sheet name="Segment Validation" sheetId="4" r:id="rId4"/>
    <sheet name="Issue Log" sheetId="7" r:id="rId5"/>
    <sheet name="Week 8 Readiness" sheetId="8" r:id="rId6"/>
    <sheet name="Sources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2" l="1"/>
  <c r="F13" i="2" s="1"/>
  <c r="D12" i="2"/>
  <c r="F12" i="2" s="1"/>
  <c r="D11" i="2"/>
  <c r="F11" i="2" s="1"/>
  <c r="D10" i="2"/>
  <c r="F10" i="2" s="1"/>
  <c r="D9" i="2"/>
  <c r="F9" i="2" s="1"/>
  <c r="D8" i="2"/>
  <c r="F8" i="2" s="1"/>
  <c r="D7" i="2"/>
  <c r="F7" i="2" s="1"/>
</calcChain>
</file>

<file path=xl/sharedStrings.xml><?xml version="1.0" encoding="utf-8"?>
<sst xmlns="http://schemas.openxmlformats.org/spreadsheetml/2006/main" count="238" uniqueCount="183">
  <si>
    <t>HealthConnect Week 7 Testing Evidence</t>
  </si>
  <si>
    <t>Verified calculations, editable Power BI inputs and outstanding validation items</t>
  </si>
  <si>
    <t>Verified source results</t>
  </si>
  <si>
    <t>Metric</t>
  </si>
  <si>
    <t>Verified result</t>
  </si>
  <si>
    <t>Unit</t>
  </si>
  <si>
    <t>Evidence status</t>
  </si>
  <si>
    <t>Total appointments</t>
  </si>
  <si>
    <t>count</t>
  </si>
  <si>
    <t>Verified</t>
  </si>
  <si>
    <t>Eligible appointments</t>
  </si>
  <si>
    <t>No-shows</t>
  </si>
  <si>
    <t>Overall no-show rate</t>
  </si>
  <si>
    <t>rate</t>
  </si>
  <si>
    <t>41-60-day no-show rate</t>
  </si>
  <si>
    <t>Combined segment no-show rate</t>
  </si>
  <si>
    <t>Submission position</t>
  </si>
  <si>
    <t>Area</t>
  </si>
  <si>
    <t>Current status</t>
  </si>
  <si>
    <t>Next action</t>
  </si>
  <si>
    <t>Source calculations</t>
  </si>
  <si>
    <t>Ready</t>
  </si>
  <si>
    <t>Compare against Power BI</t>
  </si>
  <si>
    <t>Dashboard</t>
  </si>
  <si>
    <t>Pending</t>
  </si>
  <si>
    <t>Enter actual results and screenshot references</t>
  </si>
  <si>
    <t>Cross-track validation</t>
  </si>
  <si>
    <t>Partially ready</t>
  </si>
  <si>
    <t>Obtain missing Data Science evidence</t>
  </si>
  <si>
    <t>Prediction integration</t>
  </si>
  <si>
    <t>Not ready</t>
  </si>
  <si>
    <t>Receive ID-preserving scoring output</t>
  </si>
  <si>
    <t>Week 8 story</t>
  </si>
  <si>
    <t>Use only verified or qualified claims</t>
  </si>
  <si>
    <t>Important: the attached source contains 86 eligible appointments with missing distance, while the working notebook reportedly produced 39. Reconcile the data version or earlier cleaning before final submission.</t>
  </si>
  <si>
    <t>KPI Validation Record</t>
  </si>
  <si>
    <t>Enter actual Power BI values in the amber cells. Rates must be entered as decimals such as 0.5115.</t>
  </si>
  <si>
    <t>KPI</t>
  </si>
  <si>
    <t>Python result</t>
  </si>
  <si>
    <t>Power BI result</t>
  </si>
  <si>
    <t>Difference</t>
  </si>
  <si>
    <t>Tolerance</t>
  </si>
  <si>
    <t>Status</t>
  </si>
  <si>
    <t>Evidence reference</t>
  </si>
  <si>
    <t>Attended appointments</t>
  </si>
  <si>
    <t>No-show appointments</t>
  </si>
  <si>
    <t>Cancelled appointments</t>
  </si>
  <si>
    <t>Attendance rate</t>
  </si>
  <si>
    <t>Data Quality Validation</t>
  </si>
  <si>
    <t>Checks recalculated from the attached HealthConnect appointment source</t>
  </si>
  <si>
    <t>Check</t>
  </si>
  <si>
    <t>Result</t>
  </si>
  <si>
    <t>Rule or note</t>
  </si>
  <si>
    <t>Total appointment rows</t>
  </si>
  <si>
    <t>Reference population</t>
  </si>
  <si>
    <t>Attended + No-Show</t>
  </si>
  <si>
    <t>Duplicate appointment IDs</t>
  </si>
  <si>
    <t>Expected 0</t>
  </si>
  <si>
    <t>Pass</t>
  </si>
  <si>
    <t>Previous no-shows exceeding previous appointments</t>
  </si>
  <si>
    <t>Unparseable dates</t>
  </si>
  <si>
    <t>Lead-time discrepancies</t>
  </si>
  <si>
    <t>Eligible records outside agreed lead-time bands</t>
  </si>
  <si>
    <t>Eligible appointments missing distance</t>
  </si>
  <si>
    <t>Working notebook reportedly returned 39</t>
  </si>
  <si>
    <t>Open discrepancy</t>
  </si>
  <si>
    <t>Eligible appointments with zero previous appointments</t>
  </si>
  <si>
    <t>no_previous_history flag retained</t>
  </si>
  <si>
    <t>Segment Validation</t>
  </si>
  <si>
    <t>Verified appointment counts, no-show counts and rates</t>
  </si>
  <si>
    <t>Booking lead time</t>
  </si>
  <si>
    <t>Lead-time band</t>
  </si>
  <si>
    <t>Appointments</t>
  </si>
  <si>
    <t>No-show rate</t>
  </si>
  <si>
    <t>0-7</t>
  </si>
  <si>
    <t>8-21</t>
  </si>
  <si>
    <t>22-40</t>
  </si>
  <si>
    <t>41-60</t>
  </si>
  <si>
    <t>Previous no-show history</t>
  </si>
  <si>
    <t>Previous no-shows</t>
  </si>
  <si>
    <t>0</t>
  </si>
  <si>
    <t>1</t>
  </si>
  <si>
    <t>2+</t>
  </si>
  <si>
    <t>Combined analytical segment</t>
  </si>
  <si>
    <t>Segment</t>
  </si>
  <si>
    <t>All other eligible</t>
  </si>
  <si>
    <t>41-60 days and 2+ prior no-shows</t>
  </si>
  <si>
    <t>Evidence</t>
  </si>
  <si>
    <t>Finding</t>
  </si>
  <si>
    <t>Action</t>
  </si>
  <si>
    <t>Week 7 Issue Log</t>
  </si>
  <si>
    <t>Open issues remain visible until a real correction and retest are documented</t>
  </si>
  <si>
    <t>Issue ID</t>
  </si>
  <si>
    <t>Retest / evidence</t>
  </si>
  <si>
    <t>Owner</t>
  </si>
  <si>
    <t>ISS-01</t>
  </si>
  <si>
    <t>Attached source has 86 missing eligible distances; working notebook reportedly has 39</t>
  </si>
  <si>
    <t>Compare source path, row count and prior cleaning</t>
  </si>
  <si>
    <t>Open</t>
  </si>
  <si>
    <t>ISS-02</t>
  </si>
  <si>
    <t>DS distance threshold and missing treatment unspecified</t>
  </si>
  <si>
    <t>Request training median and preprocessing rule</t>
  </si>
  <si>
    <t>Pending DS evidence</t>
  </si>
  <si>
    <t>ISS-03</t>
  </si>
  <si>
    <t>DS combined-segment reproduction unavailable</t>
  </si>
  <si>
    <t>Share DA counts and request same-population result</t>
  </si>
  <si>
    <t>DA result verified; DS retest pending</t>
  </si>
  <si>
    <t>Partially resolved</t>
  </si>
  <si>
    <t>ISS-04</t>
  </si>
  <si>
    <t>Prediction output lacks appointment_id</t>
  </si>
  <si>
    <t>Request preserved ID metadata</t>
  </si>
  <si>
    <t>Pending scoring output</t>
  </si>
  <si>
    <t>ISS-05</t>
  </si>
  <si>
    <t>Brier improvement and gap definition unclear</t>
  </si>
  <si>
    <t>Request before/after scores and metric definition</t>
  </si>
  <si>
    <t>ISS-06</t>
  </si>
  <si>
    <t>Power BI checks not performed</t>
  </si>
  <si>
    <t>Complete Dashboard Tests sheet and screenshots</t>
  </si>
  <si>
    <t>ISS-07</t>
  </si>
  <si>
    <t>Threshold evidence incomplete</t>
  </si>
  <si>
    <t>Request threshold matrices and cost assumptions</t>
  </si>
  <si>
    <t>Week 8 Readiness Assessment</t>
  </si>
  <si>
    <t>Use Ready, Partially ready or Not ready based on available evidence</t>
  </si>
  <si>
    <t>Remaining action</t>
  </si>
  <si>
    <t>Source KPIs</t>
  </si>
  <si>
    <t>Executed source calculations</t>
  </si>
  <si>
    <t>Complete Power BI reconciliation</t>
  </si>
  <si>
    <t>Analytical definitions</t>
  </si>
  <si>
    <t>Bands and history rules implemented</t>
  </si>
  <si>
    <t>Resolve distance discrepancy and confirm DS rule</t>
  </si>
  <si>
    <t>Findings</t>
  </si>
  <si>
    <t>Ready for descriptive reporting</t>
  </si>
  <si>
    <t>Counts, rates and effect sizes calculated</t>
  </si>
  <si>
    <t>Maintain causal qualifications</t>
  </si>
  <si>
    <t>Cross-track consistency</t>
  </si>
  <si>
    <t>Count and metric checks completed</t>
  </si>
  <si>
    <t>Obtain missing DS evidence</t>
  </si>
  <si>
    <t>No stable appointment-level join</t>
  </si>
  <si>
    <t>Receive ID-preserving predictions</t>
  </si>
  <si>
    <t>Operational threshold</t>
  </si>
  <si>
    <t>Hypothetical scenarios only</t>
  </si>
  <si>
    <t>Agree costs and capacity</t>
  </si>
  <si>
    <t>Documentation</t>
  </si>
  <si>
    <t>Reports and evidence pack drafted</t>
  </si>
  <si>
    <t>Attach screenshots and update statuses</t>
  </si>
  <si>
    <t>Sources and Definitions</t>
  </si>
  <si>
    <t>Provenance for the evidence workbook</t>
  </si>
  <si>
    <t>Source</t>
  </si>
  <si>
    <t>Use</t>
  </si>
  <si>
    <t>Notes</t>
  </si>
  <si>
    <t>HealthConnect_Appointment_Data.csv</t>
  </si>
  <si>
    <t>5,000 synthetic appointment records</t>
  </si>
  <si>
    <t>HealthConnect_Data_Dictionary.xlsx</t>
  </si>
  <si>
    <t>Field definitions</t>
  </si>
  <si>
    <t>Appointment-level data; patient IDs can repeat</t>
  </si>
  <si>
    <t>Week 5 notebook</t>
  </si>
  <si>
    <t>Prior analysis</t>
  </si>
  <si>
    <t>Contained earlier lead-time bands</t>
  </si>
  <si>
    <t>Data Scientist response</t>
  </si>
  <si>
    <t>Model definitions and metrics</t>
  </si>
  <si>
    <t>Reported evidence; not all outputs independently reproduced</t>
  </si>
  <si>
    <t>Week 7 testing workflow</t>
  </si>
  <si>
    <t>Submission requirements</t>
  </si>
  <si>
    <t>Test, finding, action, retest and evidence</t>
  </si>
  <si>
    <t>Definitions</t>
  </si>
  <si>
    <t>Term</t>
  </si>
  <si>
    <t>Definition</t>
  </si>
  <si>
    <t>Eligible appointment</t>
  </si>
  <si>
    <t>Attended or No-Show; cancellations excluded</t>
  </si>
  <si>
    <t>No-shows divided by eligible appointments</t>
  </si>
  <si>
    <t>Lead-time bands</t>
  </si>
  <si>
    <t>0-7, 8-21, 22-40 and 41-60 days</t>
  </si>
  <si>
    <t>High previous no-show</t>
  </si>
  <si>
    <t>At least two previous no-shows</t>
  </si>
  <si>
    <t>41-60 days and at least two previous no-shows</t>
  </si>
  <si>
    <t>Unknown distance</t>
  </si>
  <si>
    <t>Missing distance retained explicitly; not treated as short distance</t>
  </si>
  <si>
    <t>Removal of existing filters</t>
  </si>
  <si>
    <t>Resolved</t>
  </si>
  <si>
    <t xml:space="preserve"> Manual tests</t>
  </si>
  <si>
    <t>Data Analyst</t>
  </si>
  <si>
    <t>Screenshots are supplied</t>
  </si>
  <si>
    <t>Dashboard Reconciliationn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</si>
</sst>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10"/>
      <color rgb="FF000000"/>
      <name val="Arial"/>
    </font>
    <font>
      <b/>
      <sz val="15"/>
      <color rgb="FF000000"/>
      <name val="Arial"/>
    </font>
    <font>
      <i/>
      <sz val="9"/>
      <color rgb="FF5D6975"/>
      <name val="Arial"/>
    </font>
    <font>
      <b/>
      <sz val="10"/>
      <color rgb="FFFFFFFF"/>
      <name val="Arial"/>
    </font>
    <font>
      <b/>
      <sz val="10"/>
      <color rgb="FF7F600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3F5F"/>
      </patternFill>
    </fill>
    <fill>
      <patternFill patternType="solid">
        <fgColor rgb="FFF5F7F9"/>
      </patternFill>
    </fill>
    <fill>
      <patternFill patternType="solid">
        <fgColor rgb="FFFFF2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6B656"/>
      </left>
      <right/>
      <top style="thin">
        <color rgb="FFD6B656"/>
      </top>
      <bottom/>
      <diagonal/>
    </border>
    <border>
      <left/>
      <right/>
      <top style="thin">
        <color rgb="FFD6B656"/>
      </top>
      <bottom/>
      <diagonal/>
    </border>
    <border>
      <left/>
      <right style="thin">
        <color rgb="FFD6B656"/>
      </right>
      <top style="thin">
        <color rgb="FFD6B656"/>
      </top>
      <bottom/>
      <diagonal/>
    </border>
    <border>
      <left style="thin">
        <color rgb="FFD6B656"/>
      </left>
      <right/>
      <top/>
      <bottom/>
      <diagonal/>
    </border>
    <border>
      <left/>
      <right style="thin">
        <color rgb="FFD6B656"/>
      </right>
      <top/>
      <bottom/>
      <diagonal/>
    </border>
    <border>
      <left style="thin">
        <color rgb="FFD6B656"/>
      </left>
      <right/>
      <top/>
      <bottom style="thin">
        <color rgb="FFD6B656"/>
      </bottom>
      <diagonal/>
    </border>
    <border>
      <left/>
      <right/>
      <top/>
      <bottom style="thin">
        <color rgb="FFD6B656"/>
      </bottom>
      <diagonal/>
    </border>
    <border>
      <left/>
      <right style="thin">
        <color rgb="FFD6B656"/>
      </right>
      <top/>
      <bottom style="thin">
        <color rgb="FFD6B656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10" fontId="1" fillId="3" borderId="5" xfId="0" applyNumberFormat="1" applyFont="1" applyFill="1" applyBorder="1" applyAlignment="1">
      <alignment vertical="center"/>
    </xf>
    <xf numFmtId="10" fontId="1" fillId="0" borderId="5" xfId="0" applyNumberFormat="1" applyFont="1" applyBorder="1" applyAlignment="1">
      <alignment vertical="center"/>
    </xf>
    <xf numFmtId="3" fontId="1" fillId="0" borderId="5" xfId="0" applyNumberFormat="1" applyFont="1" applyBorder="1" applyAlignment="1">
      <alignment vertical="center"/>
    </xf>
    <xf numFmtId="3" fontId="1" fillId="3" borderId="5" xfId="0" applyNumberFormat="1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10" fontId="1" fillId="4" borderId="5" xfId="0" applyNumberFormat="1" applyFont="1" applyFill="1" applyBorder="1" applyAlignment="1">
      <alignment vertical="center"/>
    </xf>
    <xf numFmtId="3" fontId="1" fillId="4" borderId="5" xfId="0" applyNumberFormat="1" applyFont="1" applyFill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6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vertical="center" wrapText="1"/>
    </xf>
    <xf numFmtId="0" fontId="5" fillId="0" borderId="8" xfId="0" applyFont="1" applyFill="1" applyBorder="1" applyAlignment="1">
      <alignment vertical="center" wrapText="1"/>
    </xf>
    <xf numFmtId="0" fontId="5" fillId="0" borderId="9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5" fillId="0" borderId="10" xfId="0" applyFont="1" applyFill="1" applyBorder="1" applyAlignment="1">
      <alignment vertical="center" wrapText="1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5" fillId="0" borderId="13" xfId="0" applyFont="1" applyFill="1" applyBorder="1" applyAlignment="1">
      <alignment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8" fillId="0" borderId="2" xfId="0" applyFont="1" applyFill="1" applyBorder="1" applyAlignment="1">
      <alignment vertical="center"/>
    </xf>
    <xf numFmtId="0" fontId="7" fillId="0" borderId="3" xfId="0" applyFont="1" applyFill="1" applyBorder="1" applyAlignment="1">
      <alignment vertical="center"/>
    </xf>
    <xf numFmtId="0" fontId="7" fillId="0" borderId="4" xfId="0" applyFont="1" applyFill="1" applyBorder="1" applyAlignment="1">
      <alignment vertical="center"/>
    </xf>
    <xf numFmtId="3" fontId="7" fillId="0" borderId="5" xfId="0" applyNumberFormat="1" applyFont="1" applyFill="1" applyBorder="1" applyAlignment="1">
      <alignment vertical="center"/>
    </xf>
    <xf numFmtId="10" fontId="7" fillId="0" borderId="5" xfId="0" applyNumberFormat="1" applyFont="1" applyFill="1" applyBorder="1" applyAlignment="1">
      <alignment vertical="center"/>
    </xf>
    <xf numFmtId="0" fontId="9" fillId="0" borderId="5" xfId="0" applyFont="1" applyBorder="1" applyAlignment="1">
      <alignment vertical="center" wrapText="1"/>
    </xf>
    <xf numFmtId="0" fontId="9" fillId="3" borderId="5" xfId="0" applyFont="1" applyFill="1" applyBorder="1" applyAlignment="1">
      <alignment vertical="center" wrapText="1"/>
    </xf>
    <xf numFmtId="0" fontId="9" fillId="4" borderId="5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8" fillId="0" borderId="2" xfId="0" applyFont="1" applyFill="1" applyBorder="1" applyAlignment="1">
      <alignment vertical="center" wrapText="1"/>
    </xf>
    <xf numFmtId="0" fontId="7" fillId="0" borderId="3" xfId="0" applyFont="1" applyFill="1" applyBorder="1" applyAlignment="1">
      <alignment vertical="center" wrapText="1"/>
    </xf>
  </cellXfs>
  <cellStyles count="1">
    <cellStyle name="Normal" xfId="0" builtinId="0"/>
  </cellStyles>
  <dxfs count="3"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2F2F"/>
      </font>
      <fill>
        <patternFill patternType="solid"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F5F"/>
  </sheetPr>
  <dimension ref="A1:Z100"/>
  <sheetViews>
    <sheetView showGridLines="0" workbookViewId="0">
      <selection activeCell="B21" sqref="B21"/>
    </sheetView>
  </sheetViews>
  <sheetFormatPr defaultRowHeight="13.8"/>
  <cols>
    <col min="1" max="1" width="31" customWidth="1"/>
    <col min="2" max="2" width="18" customWidth="1"/>
    <col min="3" max="3" width="45" customWidth="1"/>
    <col min="4" max="4" width="20" customWidth="1"/>
  </cols>
  <sheetData>
    <row r="1" spans="1:26" ht="1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6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18" t="s">
        <v>1</v>
      </c>
      <c r="B3" s="17"/>
      <c r="C3" s="17"/>
      <c r="D3" s="17"/>
      <c r="E3" s="17"/>
      <c r="F3" s="17"/>
      <c r="G3" s="17"/>
      <c r="H3" s="17"/>
      <c r="I3" s="17"/>
      <c r="J3" s="1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>
      <c r="A5" s="30"/>
      <c r="B5" s="30"/>
      <c r="C5" s="30"/>
      <c r="D5" s="30"/>
      <c r="E5" s="30"/>
      <c r="F5" s="30"/>
      <c r="G5" s="30"/>
      <c r="H5" s="30"/>
      <c r="I5" s="30"/>
      <c r="J5" s="30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>
      <c r="A6" s="31" t="s">
        <v>2</v>
      </c>
      <c r="B6" s="32"/>
      <c r="C6" s="32"/>
      <c r="D6" s="32"/>
      <c r="E6" s="32"/>
      <c r="F6" s="32"/>
      <c r="G6" s="32"/>
      <c r="H6" s="32"/>
      <c r="I6" s="32"/>
      <c r="J6" s="3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28" t="s">
        <v>3</v>
      </c>
      <c r="B8" s="28" t="s">
        <v>4</v>
      </c>
      <c r="C8" s="28" t="s">
        <v>5</v>
      </c>
      <c r="D8" s="28" t="s">
        <v>6</v>
      </c>
      <c r="E8" s="30"/>
      <c r="F8" s="30"/>
      <c r="G8" s="30"/>
      <c r="H8" s="30"/>
      <c r="I8" s="30"/>
      <c r="J8" s="30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>
      <c r="A9" s="29" t="s">
        <v>7</v>
      </c>
      <c r="B9" s="34">
        <v>5000</v>
      </c>
      <c r="C9" s="29" t="s">
        <v>8</v>
      </c>
      <c r="D9" s="29" t="s">
        <v>9</v>
      </c>
      <c r="E9" s="30"/>
      <c r="F9" s="30"/>
      <c r="G9" s="30"/>
      <c r="H9" s="30"/>
      <c r="I9" s="30"/>
      <c r="J9" s="30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>
      <c r="A10" s="29" t="s">
        <v>10</v>
      </c>
      <c r="B10" s="34">
        <v>4737</v>
      </c>
      <c r="C10" s="29" t="s">
        <v>8</v>
      </c>
      <c r="D10" s="29" t="s">
        <v>9</v>
      </c>
      <c r="E10" s="30"/>
      <c r="F10" s="30"/>
      <c r="G10" s="30"/>
      <c r="H10" s="30"/>
      <c r="I10" s="30"/>
      <c r="J10" s="30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29" t="s">
        <v>11</v>
      </c>
      <c r="B11" s="34">
        <v>2423</v>
      </c>
      <c r="C11" s="29" t="s">
        <v>8</v>
      </c>
      <c r="D11" s="29" t="s">
        <v>9</v>
      </c>
      <c r="E11" s="30"/>
      <c r="F11" s="30"/>
      <c r="G11" s="30"/>
      <c r="H11" s="30"/>
      <c r="I11" s="30"/>
      <c r="J11" s="30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>
      <c r="A12" s="29" t="s">
        <v>12</v>
      </c>
      <c r="B12" s="35">
        <v>0.51150517200000001</v>
      </c>
      <c r="C12" s="29" t="s">
        <v>13</v>
      </c>
      <c r="D12" s="29" t="s">
        <v>9</v>
      </c>
      <c r="E12" s="30"/>
      <c r="F12" s="30"/>
      <c r="G12" s="30"/>
      <c r="H12" s="30"/>
      <c r="I12" s="30"/>
      <c r="J12" s="30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29" t="s">
        <v>14</v>
      </c>
      <c r="B13" s="35">
        <v>0.68487674899999995</v>
      </c>
      <c r="C13" s="29" t="s">
        <v>13</v>
      </c>
      <c r="D13" s="29" t="s">
        <v>9</v>
      </c>
      <c r="E13" s="30"/>
      <c r="F13" s="30"/>
      <c r="G13" s="30"/>
      <c r="H13" s="30"/>
      <c r="I13" s="30"/>
      <c r="J13" s="30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>
      <c r="A14" s="29" t="s">
        <v>15</v>
      </c>
      <c r="B14" s="35">
        <v>0.83333333300000001</v>
      </c>
      <c r="C14" s="29" t="s">
        <v>13</v>
      </c>
      <c r="D14" s="29" t="s">
        <v>9</v>
      </c>
      <c r="E14" s="30"/>
      <c r="F14" s="30"/>
      <c r="G14" s="30"/>
      <c r="H14" s="30"/>
      <c r="I14" s="30"/>
      <c r="J14" s="30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>
      <c r="A17" s="31" t="s">
        <v>16</v>
      </c>
      <c r="B17" s="32"/>
      <c r="C17" s="32"/>
      <c r="D17" s="32"/>
      <c r="E17" s="32"/>
      <c r="F17" s="32"/>
      <c r="G17" s="32"/>
      <c r="H17" s="32"/>
      <c r="I17" s="32"/>
      <c r="J17" s="3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>
      <c r="A19" s="28" t="s">
        <v>17</v>
      </c>
      <c r="B19" s="28" t="s">
        <v>18</v>
      </c>
      <c r="C19" s="28" t="s">
        <v>19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>
      <c r="A20" s="29" t="s">
        <v>20</v>
      </c>
      <c r="B20" s="29" t="s">
        <v>21</v>
      </c>
      <c r="C20" s="29" t="s">
        <v>22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>
      <c r="A21" s="29" t="s">
        <v>23</v>
      </c>
      <c r="B21" s="29" t="s">
        <v>24</v>
      </c>
      <c r="C21" s="29" t="s">
        <v>25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>
      <c r="A22" s="29" t="s">
        <v>26</v>
      </c>
      <c r="B22" s="29" t="s">
        <v>27</v>
      </c>
      <c r="C22" s="29" t="s">
        <v>28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>
      <c r="A23" s="29" t="s">
        <v>29</v>
      </c>
      <c r="B23" s="29" t="s">
        <v>30</v>
      </c>
      <c r="C23" s="29" t="s">
        <v>31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>
      <c r="A24" s="29" t="s">
        <v>32</v>
      </c>
      <c r="B24" s="29" t="s">
        <v>27</v>
      </c>
      <c r="C24" s="29" t="s">
        <v>33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>
      <c r="A27" s="19" t="s">
        <v>34</v>
      </c>
      <c r="B27" s="20"/>
      <c r="C27" s="20"/>
      <c r="D27" s="20"/>
      <c r="E27" s="20"/>
      <c r="F27" s="20"/>
      <c r="G27" s="20"/>
      <c r="H27" s="20"/>
      <c r="I27" s="20"/>
      <c r="J27" s="21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>
      <c r="A28" s="22"/>
      <c r="B28" s="23"/>
      <c r="C28" s="23"/>
      <c r="D28" s="23"/>
      <c r="E28" s="23"/>
      <c r="F28" s="23"/>
      <c r="G28" s="23"/>
      <c r="H28" s="23"/>
      <c r="I28" s="23"/>
      <c r="J28" s="2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>
      <c r="A29" s="25"/>
      <c r="B29" s="26"/>
      <c r="C29" s="26"/>
      <c r="D29" s="26"/>
      <c r="E29" s="26"/>
      <c r="F29" s="26"/>
      <c r="G29" s="26"/>
      <c r="H29" s="26"/>
      <c r="I29" s="26"/>
      <c r="J29" s="27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5">
    <mergeCell ref="A2:J2"/>
    <mergeCell ref="A3:J3"/>
    <mergeCell ref="A6:J6"/>
    <mergeCell ref="A17:J17"/>
    <mergeCell ref="A27:J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6E8C"/>
  </sheetPr>
  <dimension ref="A1:Z100"/>
  <sheetViews>
    <sheetView showGridLines="0" workbookViewId="0">
      <selection activeCell="C14" sqref="C14"/>
    </sheetView>
  </sheetViews>
  <sheetFormatPr defaultRowHeight="13.8"/>
  <cols>
    <col min="1" max="1" width="30" customWidth="1"/>
    <col min="2" max="6" width="16" customWidth="1"/>
    <col min="7" max="7" width="29" customWidth="1"/>
  </cols>
  <sheetData>
    <row r="1" spans="1:26" ht="1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6" t="s">
        <v>35</v>
      </c>
      <c r="B2" s="17"/>
      <c r="C2" s="17"/>
      <c r="D2" s="17"/>
      <c r="E2" s="17"/>
      <c r="F2" s="17"/>
      <c r="G2" s="1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18" t="s">
        <v>36</v>
      </c>
      <c r="B3" s="17"/>
      <c r="C3" s="17"/>
      <c r="D3" s="17"/>
      <c r="E3" s="17"/>
      <c r="F3" s="17"/>
      <c r="G3" s="17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15"/>
      <c r="B4" s="15"/>
      <c r="C4" s="15"/>
      <c r="D4" s="15"/>
      <c r="E4" s="15"/>
      <c r="F4" s="15"/>
      <c r="G4" s="1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>
      <c r="A6" s="1" t="s">
        <v>37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3" t="s">
        <v>7</v>
      </c>
      <c r="B7" s="7">
        <v>5000</v>
      </c>
      <c r="C7" s="11">
        <v>5000</v>
      </c>
      <c r="D7" s="7">
        <f t="shared" ref="D7:D13" si="0">IF(C7="","",C7-B7)</f>
        <v>0</v>
      </c>
      <c r="E7" s="7">
        <v>0</v>
      </c>
      <c r="F7" s="3" t="str">
        <f t="shared" ref="F7:F13" si="1">IF(C7="","Pending",IF(ABS(D7)&lt;=E7,"Pass","Fail"))</f>
        <v>Pass</v>
      </c>
      <c r="G7" s="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4" t="s">
        <v>10</v>
      </c>
      <c r="B8" s="8">
        <v>4737</v>
      </c>
      <c r="C8" s="11">
        <v>4737</v>
      </c>
      <c r="D8" s="8">
        <f t="shared" si="0"/>
        <v>0</v>
      </c>
      <c r="E8" s="8">
        <v>0</v>
      </c>
      <c r="F8" s="4" t="str">
        <f t="shared" si="1"/>
        <v>Pass</v>
      </c>
      <c r="G8" s="4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>
      <c r="A9" s="3" t="s">
        <v>44</v>
      </c>
      <c r="B9" s="7">
        <v>2314</v>
      </c>
      <c r="C9" s="11">
        <v>2314</v>
      </c>
      <c r="D9" s="7">
        <f t="shared" si="0"/>
        <v>0</v>
      </c>
      <c r="E9" s="7">
        <v>0</v>
      </c>
      <c r="F9" s="3" t="str">
        <f t="shared" si="1"/>
        <v>Pass</v>
      </c>
      <c r="G9" s="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>
      <c r="A10" s="4" t="s">
        <v>45</v>
      </c>
      <c r="B10" s="8">
        <v>2423</v>
      </c>
      <c r="C10" s="11">
        <v>2423</v>
      </c>
      <c r="D10" s="8">
        <f t="shared" si="0"/>
        <v>0</v>
      </c>
      <c r="E10" s="8">
        <v>0</v>
      </c>
      <c r="F10" s="4" t="str">
        <f t="shared" si="1"/>
        <v>Pass</v>
      </c>
      <c r="G10" s="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3" t="s">
        <v>46</v>
      </c>
      <c r="B11" s="7">
        <v>263</v>
      </c>
      <c r="C11" s="11">
        <v>263</v>
      </c>
      <c r="D11" s="7">
        <f t="shared" si="0"/>
        <v>0</v>
      </c>
      <c r="E11" s="7">
        <v>0</v>
      </c>
      <c r="F11" s="3" t="str">
        <f t="shared" si="1"/>
        <v>Pass</v>
      </c>
      <c r="G11" s="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>
      <c r="A12" s="4" t="s">
        <v>12</v>
      </c>
      <c r="B12" s="5">
        <v>0.51150517200000001</v>
      </c>
      <c r="C12" s="10">
        <v>0.51149999999999995</v>
      </c>
      <c r="D12" s="5">
        <f t="shared" si="0"/>
        <v>-5.1720000000532451E-6</v>
      </c>
      <c r="E12" s="5">
        <v>1E-4</v>
      </c>
      <c r="F12" s="4" t="str">
        <f t="shared" si="1"/>
        <v>Pass</v>
      </c>
      <c r="G12" s="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3" t="s">
        <v>47</v>
      </c>
      <c r="B13" s="6">
        <v>0.48849482799999999</v>
      </c>
      <c r="C13" s="10">
        <v>0.48849999999999999</v>
      </c>
      <c r="D13" s="6">
        <f t="shared" si="0"/>
        <v>5.171999999997734E-6</v>
      </c>
      <c r="E13" s="6">
        <v>1E-4</v>
      </c>
      <c r="F13" s="3" t="str">
        <f t="shared" si="1"/>
        <v>Pass</v>
      </c>
      <c r="G13" s="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2:G2"/>
    <mergeCell ref="A3:G3"/>
  </mergeCells>
  <conditionalFormatting sqref="F7:F13">
    <cfRule type="containsText" dxfId="2" priority="1" operator="containsText" text="Fail"/>
    <cfRule type="containsText" dxfId="1" priority="2" operator="containsText" text="Pending"/>
    <cfRule type="containsText" dxfId="0" priority="3" operator="containsText" text="Pass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6E8C"/>
  </sheetPr>
  <dimension ref="A1:Z100"/>
  <sheetViews>
    <sheetView showGridLines="0" workbookViewId="0"/>
  </sheetViews>
  <sheetFormatPr defaultRowHeight="13.8"/>
  <cols>
    <col min="1" max="1" width="48" customWidth="1"/>
    <col min="2" max="2" width="13" customWidth="1"/>
    <col min="3" max="3" width="38" customWidth="1"/>
    <col min="4" max="4" width="22" customWidth="1"/>
  </cols>
  <sheetData>
    <row r="1" spans="1:26" ht="1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6" t="s">
        <v>48</v>
      </c>
      <c r="B2" s="17"/>
      <c r="C2" s="17"/>
      <c r="D2" s="17"/>
      <c r="E2" s="17"/>
      <c r="F2" s="17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18" t="s">
        <v>49</v>
      </c>
      <c r="B3" s="17"/>
      <c r="C3" s="17"/>
      <c r="D3" s="17"/>
      <c r="E3" s="17"/>
      <c r="F3" s="1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15"/>
      <c r="B4" s="15"/>
      <c r="C4" s="15"/>
      <c r="D4" s="15"/>
      <c r="E4" s="15"/>
      <c r="F4" s="1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>
      <c r="A6" s="1" t="s">
        <v>50</v>
      </c>
      <c r="B6" s="1" t="s">
        <v>51</v>
      </c>
      <c r="C6" s="1" t="s">
        <v>52</v>
      </c>
      <c r="D6" s="1" t="s">
        <v>42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3" t="s">
        <v>53</v>
      </c>
      <c r="B7" s="3">
        <v>5000</v>
      </c>
      <c r="C7" s="3" t="s">
        <v>54</v>
      </c>
      <c r="D7" s="3" t="s">
        <v>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4" t="s">
        <v>10</v>
      </c>
      <c r="B8" s="4">
        <v>4737</v>
      </c>
      <c r="C8" s="4" t="s">
        <v>55</v>
      </c>
      <c r="D8" s="4" t="s">
        <v>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>
      <c r="A9" s="3" t="s">
        <v>56</v>
      </c>
      <c r="B9" s="3">
        <v>0</v>
      </c>
      <c r="C9" s="3" t="s">
        <v>57</v>
      </c>
      <c r="D9" s="3" t="s">
        <v>58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>
      <c r="A10" s="4" t="s">
        <v>59</v>
      </c>
      <c r="B10" s="4">
        <v>0</v>
      </c>
      <c r="C10" s="4" t="s">
        <v>57</v>
      </c>
      <c r="D10" s="4" t="s">
        <v>58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3" t="s">
        <v>60</v>
      </c>
      <c r="B11" s="3">
        <v>0</v>
      </c>
      <c r="C11" s="3" t="s">
        <v>57</v>
      </c>
      <c r="D11" s="3" t="s">
        <v>58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>
      <c r="A12" s="4" t="s">
        <v>61</v>
      </c>
      <c r="B12" s="4">
        <v>0</v>
      </c>
      <c r="C12" s="4" t="s">
        <v>57</v>
      </c>
      <c r="D12" s="4" t="s">
        <v>58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3" t="s">
        <v>62</v>
      </c>
      <c r="B13" s="3">
        <v>0</v>
      </c>
      <c r="C13" s="3" t="s">
        <v>57</v>
      </c>
      <c r="D13" s="3" t="s">
        <v>58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>
      <c r="A14" s="9" t="s">
        <v>63</v>
      </c>
      <c r="B14" s="9">
        <v>86</v>
      </c>
      <c r="C14" s="9" t="s">
        <v>64</v>
      </c>
      <c r="D14" s="9" t="s">
        <v>65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3" t="s">
        <v>66</v>
      </c>
      <c r="B15" s="3">
        <v>228</v>
      </c>
      <c r="C15" s="3" t="s">
        <v>67</v>
      </c>
      <c r="D15" s="3" t="s">
        <v>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2:F2"/>
    <mergeCell ref="A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6E8C"/>
  </sheetPr>
  <dimension ref="A1:Z100"/>
  <sheetViews>
    <sheetView showGridLines="0" topLeftCell="A7" workbookViewId="0">
      <selection activeCell="L19" sqref="L19"/>
    </sheetView>
  </sheetViews>
  <sheetFormatPr defaultRowHeight="13.8"/>
  <cols>
    <col min="1" max="1" width="38" customWidth="1"/>
    <col min="2" max="4" width="16" customWidth="1"/>
  </cols>
  <sheetData>
    <row r="1" spans="1:26" ht="1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6" t="s">
        <v>68</v>
      </c>
      <c r="B2" s="17"/>
      <c r="C2" s="17"/>
      <c r="D2" s="17"/>
      <c r="E2" s="17"/>
      <c r="F2" s="17"/>
      <c r="G2" s="17"/>
      <c r="H2" s="1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18" t="s">
        <v>69</v>
      </c>
      <c r="B3" s="17"/>
      <c r="C3" s="17"/>
      <c r="D3" s="17"/>
      <c r="E3" s="17"/>
      <c r="F3" s="17"/>
      <c r="G3" s="17"/>
      <c r="H3" s="1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15"/>
      <c r="B4" s="15"/>
      <c r="C4" s="15"/>
      <c r="D4" s="15"/>
      <c r="E4" s="15"/>
      <c r="F4" s="15"/>
      <c r="G4" s="15"/>
      <c r="H4" s="1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>
      <c r="A6" s="31" t="s">
        <v>70</v>
      </c>
      <c r="B6" s="32"/>
      <c r="C6" s="32"/>
      <c r="D6" s="32"/>
      <c r="E6" s="32"/>
      <c r="F6" s="32"/>
      <c r="G6" s="32"/>
      <c r="H6" s="3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30"/>
      <c r="B7" s="30"/>
      <c r="C7" s="30"/>
      <c r="D7" s="30"/>
      <c r="E7" s="30"/>
      <c r="F7" s="30"/>
      <c r="G7" s="30"/>
      <c r="H7" s="30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28" t="s">
        <v>71</v>
      </c>
      <c r="B8" s="28" t="s">
        <v>72</v>
      </c>
      <c r="C8" s="28" t="s">
        <v>11</v>
      </c>
      <c r="D8" s="28" t="s">
        <v>73</v>
      </c>
      <c r="E8" s="30"/>
      <c r="F8" s="30"/>
      <c r="G8" s="30"/>
      <c r="H8" s="30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>
      <c r="A9" s="29" t="s">
        <v>74</v>
      </c>
      <c r="B9" s="29">
        <v>604</v>
      </c>
      <c r="C9" s="29">
        <v>178</v>
      </c>
      <c r="D9" s="35">
        <v>0.294701987</v>
      </c>
      <c r="E9" s="30"/>
      <c r="F9" s="30"/>
      <c r="G9" s="30"/>
      <c r="H9" s="30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>
      <c r="A10" s="29" t="s">
        <v>75</v>
      </c>
      <c r="B10" s="29">
        <v>1148</v>
      </c>
      <c r="C10" s="29">
        <v>448</v>
      </c>
      <c r="D10" s="35">
        <v>0.39024390199999998</v>
      </c>
      <c r="E10" s="30"/>
      <c r="F10" s="30"/>
      <c r="G10" s="30"/>
      <c r="H10" s="30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29" t="s">
        <v>76</v>
      </c>
      <c r="B11" s="29">
        <v>1484</v>
      </c>
      <c r="C11" s="29">
        <v>769</v>
      </c>
      <c r="D11" s="35">
        <v>0.51819406999999995</v>
      </c>
      <c r="E11" s="30"/>
      <c r="F11" s="30"/>
      <c r="G11" s="30"/>
      <c r="H11" s="30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>
      <c r="A12" s="29" t="s">
        <v>77</v>
      </c>
      <c r="B12" s="29">
        <v>1501</v>
      </c>
      <c r="C12" s="29">
        <v>1028</v>
      </c>
      <c r="D12" s="35">
        <v>0.68487674899999995</v>
      </c>
      <c r="E12" s="30"/>
      <c r="F12" s="30"/>
      <c r="G12" s="30"/>
      <c r="H12" s="30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30"/>
      <c r="B13" s="30"/>
      <c r="C13" s="30"/>
      <c r="D13" s="30"/>
      <c r="E13" s="30"/>
      <c r="F13" s="30"/>
      <c r="G13" s="30"/>
      <c r="H13" s="30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>
      <c r="A14" s="30"/>
      <c r="B14" s="30"/>
      <c r="C14" s="30"/>
      <c r="D14" s="30"/>
      <c r="E14" s="30"/>
      <c r="F14" s="30"/>
      <c r="G14" s="30"/>
      <c r="H14" s="30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31" t="s">
        <v>78</v>
      </c>
      <c r="B15" s="32"/>
      <c r="C15" s="32"/>
      <c r="D15" s="32"/>
      <c r="E15" s="32"/>
      <c r="F15" s="32"/>
      <c r="G15" s="32"/>
      <c r="H15" s="3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>
      <c r="A16" s="30"/>
      <c r="B16" s="30"/>
      <c r="C16" s="30"/>
      <c r="D16" s="30"/>
      <c r="E16" s="30"/>
      <c r="F16" s="30"/>
      <c r="G16" s="30"/>
      <c r="H16" s="30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>
      <c r="A17" s="28" t="s">
        <v>79</v>
      </c>
      <c r="B17" s="28" t="s">
        <v>72</v>
      </c>
      <c r="C17" s="28" t="s">
        <v>11</v>
      </c>
      <c r="D17" s="28" t="s">
        <v>73</v>
      </c>
      <c r="E17" s="30"/>
      <c r="F17" s="30"/>
      <c r="G17" s="30"/>
      <c r="H17" s="30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>
      <c r="A18" s="29" t="s">
        <v>80</v>
      </c>
      <c r="B18" s="29">
        <v>2745</v>
      </c>
      <c r="C18" s="29">
        <v>1271</v>
      </c>
      <c r="D18" s="35">
        <v>0.46302367900000002</v>
      </c>
      <c r="E18" s="30"/>
      <c r="F18" s="30"/>
      <c r="G18" s="30"/>
      <c r="H18" s="30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>
      <c r="A19" s="29" t="s">
        <v>81</v>
      </c>
      <c r="B19" s="29">
        <v>1482</v>
      </c>
      <c r="C19" s="29">
        <v>828</v>
      </c>
      <c r="D19" s="35">
        <v>0.55870445300000005</v>
      </c>
      <c r="E19" s="30"/>
      <c r="F19" s="30"/>
      <c r="G19" s="30"/>
      <c r="H19" s="30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>
      <c r="A20" s="29" t="s">
        <v>82</v>
      </c>
      <c r="B20" s="29">
        <v>510</v>
      </c>
      <c r="C20" s="29">
        <v>324</v>
      </c>
      <c r="D20" s="35">
        <v>0.63529411800000002</v>
      </c>
      <c r="E20" s="30"/>
      <c r="F20" s="30"/>
      <c r="G20" s="30"/>
      <c r="H20" s="30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>
      <c r="A21" s="30"/>
      <c r="B21" s="30"/>
      <c r="C21" s="30"/>
      <c r="D21" s="30"/>
      <c r="E21" s="30"/>
      <c r="F21" s="30"/>
      <c r="G21" s="30"/>
      <c r="H21" s="30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>
      <c r="A22" s="30"/>
      <c r="B22" s="30"/>
      <c r="C22" s="30"/>
      <c r="D22" s="30"/>
      <c r="E22" s="30"/>
      <c r="F22" s="30"/>
      <c r="G22" s="30"/>
      <c r="H22" s="30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>
      <c r="A23" s="31" t="s">
        <v>83</v>
      </c>
      <c r="B23" s="32"/>
      <c r="C23" s="32"/>
      <c r="D23" s="32"/>
      <c r="E23" s="32"/>
      <c r="F23" s="32"/>
      <c r="G23" s="32"/>
      <c r="H23" s="3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>
      <c r="A24" s="30"/>
      <c r="B24" s="30"/>
      <c r="C24" s="30"/>
      <c r="D24" s="30"/>
      <c r="E24" s="30"/>
      <c r="F24" s="30"/>
      <c r="G24" s="30"/>
      <c r="H24" s="30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>
      <c r="A25" s="28" t="s">
        <v>84</v>
      </c>
      <c r="B25" s="28" t="s">
        <v>72</v>
      </c>
      <c r="C25" s="28" t="s">
        <v>11</v>
      </c>
      <c r="D25" s="28" t="s">
        <v>73</v>
      </c>
      <c r="E25" s="30"/>
      <c r="F25" s="30"/>
      <c r="G25" s="30"/>
      <c r="H25" s="30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>
      <c r="A26" s="29" t="s">
        <v>85</v>
      </c>
      <c r="B26" s="29">
        <v>4581</v>
      </c>
      <c r="C26" s="29">
        <v>2293</v>
      </c>
      <c r="D26" s="35">
        <v>0.50054573199999997</v>
      </c>
      <c r="E26" s="30"/>
      <c r="F26" s="30"/>
      <c r="G26" s="30"/>
      <c r="H26" s="30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>
      <c r="A27" s="29" t="s">
        <v>86</v>
      </c>
      <c r="B27" s="29">
        <v>156</v>
      </c>
      <c r="C27" s="29">
        <v>130</v>
      </c>
      <c r="D27" s="35">
        <v>0.83333333300000001</v>
      </c>
      <c r="E27" s="30"/>
      <c r="F27" s="30"/>
      <c r="G27" s="30"/>
      <c r="H27" s="30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5">
    <mergeCell ref="A2:H2"/>
    <mergeCell ref="A3:H3"/>
    <mergeCell ref="A6:H6"/>
    <mergeCell ref="A15:H15"/>
    <mergeCell ref="A23:H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504D"/>
  </sheetPr>
  <dimension ref="A1:Y100"/>
  <sheetViews>
    <sheetView showGridLines="0" workbookViewId="0">
      <selection activeCell="A6" sqref="A6:F13"/>
    </sheetView>
  </sheetViews>
  <sheetFormatPr defaultRowHeight="13.8"/>
  <cols>
    <col min="1" max="1" width="12" customWidth="1"/>
    <col min="2" max="4" width="42" customWidth="1"/>
    <col min="5" max="6" width="18" customWidth="1"/>
  </cols>
  <sheetData>
    <row r="1" spans="1:25" ht="1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 customHeight="1">
      <c r="A2" s="16" t="s">
        <v>90</v>
      </c>
      <c r="B2" s="17"/>
      <c r="C2" s="17"/>
      <c r="D2" s="17"/>
      <c r="E2" s="17"/>
      <c r="F2" s="17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" customHeight="1">
      <c r="A3" s="18" t="s">
        <v>91</v>
      </c>
      <c r="B3" s="17"/>
      <c r="C3" s="17"/>
      <c r="D3" s="17"/>
      <c r="E3" s="17"/>
      <c r="F3" s="1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" customHeight="1">
      <c r="A4" s="15"/>
      <c r="B4" s="15"/>
      <c r="C4" s="15"/>
      <c r="D4" s="15"/>
      <c r="E4" s="15"/>
      <c r="F4" s="1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" customHeight="1">
      <c r="A6" s="1" t="s">
        <v>92</v>
      </c>
      <c r="B6" s="1" t="s">
        <v>88</v>
      </c>
      <c r="C6" s="1" t="s">
        <v>89</v>
      </c>
      <c r="D6" s="1" t="s">
        <v>93</v>
      </c>
      <c r="E6" s="1" t="s">
        <v>42</v>
      </c>
      <c r="F6" s="1" t="s">
        <v>94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24" customHeight="1">
      <c r="A7" s="12" t="s">
        <v>95</v>
      </c>
      <c r="B7" s="36" t="s">
        <v>96</v>
      </c>
      <c r="C7" s="12" t="s">
        <v>97</v>
      </c>
      <c r="D7" s="36" t="s">
        <v>177</v>
      </c>
      <c r="E7" s="36" t="s">
        <v>178</v>
      </c>
      <c r="F7" s="38" t="s">
        <v>180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" customHeight="1">
      <c r="A8" s="14" t="s">
        <v>99</v>
      </c>
      <c r="B8" s="14" t="s">
        <v>100</v>
      </c>
      <c r="C8" s="14" t="s">
        <v>101</v>
      </c>
      <c r="D8" s="14" t="s">
        <v>102</v>
      </c>
      <c r="E8" s="14" t="s">
        <v>98</v>
      </c>
      <c r="F8" s="1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" customHeight="1">
      <c r="A9" s="12" t="s">
        <v>103</v>
      </c>
      <c r="B9" s="12" t="s">
        <v>104</v>
      </c>
      <c r="C9" s="12" t="s">
        <v>105</v>
      </c>
      <c r="D9" s="12" t="s">
        <v>106</v>
      </c>
      <c r="E9" s="12" t="s">
        <v>107</v>
      </c>
      <c r="F9" s="13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" customHeight="1">
      <c r="A10" s="14" t="s">
        <v>108</v>
      </c>
      <c r="B10" s="14" t="s">
        <v>109</v>
      </c>
      <c r="C10" s="14" t="s">
        <v>110</v>
      </c>
      <c r="D10" s="14" t="s">
        <v>111</v>
      </c>
      <c r="E10" s="14" t="s">
        <v>98</v>
      </c>
      <c r="F10" s="1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" customHeight="1">
      <c r="A11" s="12" t="s">
        <v>112</v>
      </c>
      <c r="B11" s="12" t="s">
        <v>113</v>
      </c>
      <c r="C11" s="12" t="s">
        <v>114</v>
      </c>
      <c r="D11" s="12" t="s">
        <v>102</v>
      </c>
      <c r="E11" s="12" t="s">
        <v>98</v>
      </c>
      <c r="F11" s="1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" customHeight="1">
      <c r="A12" s="14" t="s">
        <v>115</v>
      </c>
      <c r="B12" s="14" t="s">
        <v>116</v>
      </c>
      <c r="C12" s="14" t="s">
        <v>117</v>
      </c>
      <c r="D12" s="37" t="s">
        <v>179</v>
      </c>
      <c r="E12" s="36" t="s">
        <v>178</v>
      </c>
      <c r="F12" s="38" t="s">
        <v>180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" customHeight="1">
      <c r="A13" s="12" t="s">
        <v>118</v>
      </c>
      <c r="B13" s="12" t="s">
        <v>119</v>
      </c>
      <c r="C13" s="12" t="s">
        <v>120</v>
      </c>
      <c r="D13" s="12" t="s">
        <v>102</v>
      </c>
      <c r="E13" s="12" t="s">
        <v>98</v>
      </c>
      <c r="F13" s="1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</sheetData>
  <mergeCells count="2">
    <mergeCell ref="A2:F2"/>
    <mergeCell ref="A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48235"/>
  </sheetPr>
  <dimension ref="A1:Z100"/>
  <sheetViews>
    <sheetView showGridLines="0" workbookViewId="0">
      <selection activeCell="A5" sqref="A5:D14"/>
    </sheetView>
  </sheetViews>
  <sheetFormatPr defaultRowHeight="13.8"/>
  <cols>
    <col min="1" max="1" width="27" customWidth="1"/>
    <col min="2" max="2" width="23" customWidth="1"/>
    <col min="3" max="4" width="48" customWidth="1"/>
  </cols>
  <sheetData>
    <row r="1" spans="1:26" ht="1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6" t="s">
        <v>121</v>
      </c>
      <c r="B2" s="17"/>
      <c r="C2" s="17"/>
      <c r="D2" s="17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18" t="s">
        <v>122</v>
      </c>
      <c r="B3" s="17"/>
      <c r="C3" s="17"/>
      <c r="D3" s="17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15"/>
      <c r="B4" s="15"/>
      <c r="C4" s="15"/>
      <c r="D4" s="15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>
      <c r="A5" s="30"/>
      <c r="B5" s="30"/>
      <c r="C5" s="30"/>
      <c r="D5" s="30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>
      <c r="A6" s="28" t="s">
        <v>17</v>
      </c>
      <c r="B6" s="28" t="s">
        <v>42</v>
      </c>
      <c r="C6" s="28" t="s">
        <v>87</v>
      </c>
      <c r="D6" s="28" t="s">
        <v>123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39" t="s">
        <v>124</v>
      </c>
      <c r="B7" s="39" t="s">
        <v>21</v>
      </c>
      <c r="C7" s="39" t="s">
        <v>125</v>
      </c>
      <c r="D7" s="39" t="s">
        <v>126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39" t="s">
        <v>127</v>
      </c>
      <c r="B8" s="39" t="s">
        <v>27</v>
      </c>
      <c r="C8" s="39" t="s">
        <v>128</v>
      </c>
      <c r="D8" s="39" t="s">
        <v>129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>
      <c r="A9" s="39" t="s">
        <v>130</v>
      </c>
      <c r="B9" s="39" t="s">
        <v>131</v>
      </c>
      <c r="C9" s="39" t="s">
        <v>132</v>
      </c>
      <c r="D9" s="39" t="s">
        <v>133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>
      <c r="A10" s="39" t="s">
        <v>23</v>
      </c>
      <c r="B10" s="39" t="s">
        <v>21</v>
      </c>
      <c r="C10" s="39" t="s">
        <v>181</v>
      </c>
      <c r="D10" s="39" t="s">
        <v>182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39" t="s">
        <v>134</v>
      </c>
      <c r="B11" s="39" t="s">
        <v>27</v>
      </c>
      <c r="C11" s="39" t="s">
        <v>135</v>
      </c>
      <c r="D11" s="39" t="s">
        <v>136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>
      <c r="A12" s="39" t="s">
        <v>29</v>
      </c>
      <c r="B12" s="39" t="s">
        <v>30</v>
      </c>
      <c r="C12" s="39" t="s">
        <v>137</v>
      </c>
      <c r="D12" s="39" t="s">
        <v>138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39" t="s">
        <v>139</v>
      </c>
      <c r="B13" s="39" t="s">
        <v>30</v>
      </c>
      <c r="C13" s="39" t="s">
        <v>140</v>
      </c>
      <c r="D13" s="39" t="s">
        <v>141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>
      <c r="A14" s="39" t="s">
        <v>142</v>
      </c>
      <c r="B14" s="39" t="s">
        <v>27</v>
      </c>
      <c r="C14" s="39" t="s">
        <v>143</v>
      </c>
      <c r="D14" s="39" t="s">
        <v>144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2:D2"/>
    <mergeCell ref="A3:D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F7F7F"/>
  </sheetPr>
  <dimension ref="A1:Z100"/>
  <sheetViews>
    <sheetView showGridLines="0" tabSelected="1" workbookViewId="0">
      <selection activeCell="C24" sqref="C24"/>
    </sheetView>
  </sheetViews>
  <sheetFormatPr defaultRowHeight="13.8"/>
  <cols>
    <col min="1" max="1" width="39" customWidth="1"/>
    <col min="2" max="2" width="55" customWidth="1"/>
    <col min="3" max="3" width="46" customWidth="1"/>
  </cols>
  <sheetData>
    <row r="1" spans="1:26" ht="1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6" t="s">
        <v>145</v>
      </c>
      <c r="B2" s="17"/>
      <c r="C2" s="17"/>
      <c r="D2" s="17"/>
      <c r="E2" s="1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18" t="s">
        <v>146</v>
      </c>
      <c r="B3" s="17"/>
      <c r="C3" s="17"/>
      <c r="D3" s="17"/>
      <c r="E3" s="17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15"/>
      <c r="B4" s="15"/>
      <c r="C4" s="15"/>
      <c r="D4" s="15"/>
      <c r="E4" s="1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>
      <c r="A5" s="30"/>
      <c r="B5" s="30"/>
      <c r="C5" s="30"/>
      <c r="D5" s="30"/>
      <c r="E5" s="3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>
      <c r="A6" s="28" t="s">
        <v>147</v>
      </c>
      <c r="B6" s="28" t="s">
        <v>148</v>
      </c>
      <c r="C6" s="28" t="s">
        <v>149</v>
      </c>
      <c r="D6" s="30"/>
      <c r="E6" s="3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39" t="s">
        <v>150</v>
      </c>
      <c r="B7" s="39" t="s">
        <v>20</v>
      </c>
      <c r="C7" s="39" t="s">
        <v>151</v>
      </c>
      <c r="D7" s="30"/>
      <c r="E7" s="3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39" t="s">
        <v>152</v>
      </c>
      <c r="B8" s="39" t="s">
        <v>153</v>
      </c>
      <c r="C8" s="39" t="s">
        <v>154</v>
      </c>
      <c r="D8" s="30"/>
      <c r="E8" s="3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>
      <c r="A9" s="39" t="s">
        <v>155</v>
      </c>
      <c r="B9" s="39" t="s">
        <v>156</v>
      </c>
      <c r="C9" s="39" t="s">
        <v>157</v>
      </c>
      <c r="D9" s="30"/>
      <c r="E9" s="3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>
      <c r="A10" s="39" t="s">
        <v>158</v>
      </c>
      <c r="B10" s="39" t="s">
        <v>159</v>
      </c>
      <c r="C10" s="39" t="s">
        <v>160</v>
      </c>
      <c r="D10" s="30"/>
      <c r="E10" s="3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39" t="s">
        <v>161</v>
      </c>
      <c r="B11" s="39" t="s">
        <v>162</v>
      </c>
      <c r="C11" s="39" t="s">
        <v>163</v>
      </c>
      <c r="D11" s="30"/>
      <c r="E11" s="3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>
      <c r="A12" s="40"/>
      <c r="B12" s="40"/>
      <c r="C12" s="40"/>
      <c r="D12" s="30"/>
      <c r="E12" s="3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40"/>
      <c r="B13" s="40"/>
      <c r="C13" s="40"/>
      <c r="D13" s="30"/>
      <c r="E13" s="3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>
      <c r="A14" s="41" t="s">
        <v>164</v>
      </c>
      <c r="B14" s="42"/>
      <c r="C14" s="42"/>
      <c r="D14" s="32"/>
      <c r="E14" s="3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40"/>
      <c r="B15" s="40"/>
      <c r="C15" s="40"/>
      <c r="D15" s="30"/>
      <c r="E15" s="3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>
      <c r="A16" s="28" t="s">
        <v>165</v>
      </c>
      <c r="B16" s="28" t="s">
        <v>166</v>
      </c>
      <c r="C16" s="40"/>
      <c r="D16" s="30"/>
      <c r="E16" s="3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>
      <c r="A17" s="39" t="s">
        <v>167</v>
      </c>
      <c r="B17" s="39" t="s">
        <v>168</v>
      </c>
      <c r="C17" s="40"/>
      <c r="D17" s="30"/>
      <c r="E17" s="3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>
      <c r="A18" s="39" t="s">
        <v>73</v>
      </c>
      <c r="B18" s="39" t="s">
        <v>169</v>
      </c>
      <c r="C18" s="40"/>
      <c r="D18" s="30"/>
      <c r="E18" s="3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>
      <c r="A19" s="39" t="s">
        <v>170</v>
      </c>
      <c r="B19" s="39" t="s">
        <v>171</v>
      </c>
      <c r="C19" s="40"/>
      <c r="D19" s="30"/>
      <c r="E19" s="30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>
      <c r="A20" s="39" t="s">
        <v>172</v>
      </c>
      <c r="B20" s="39" t="s">
        <v>173</v>
      </c>
      <c r="C20" s="40"/>
      <c r="D20" s="30"/>
      <c r="E20" s="3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>
      <c r="A21" s="39" t="s">
        <v>83</v>
      </c>
      <c r="B21" s="39" t="s">
        <v>174</v>
      </c>
      <c r="C21" s="40"/>
      <c r="D21" s="30"/>
      <c r="E21" s="3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>
      <c r="A22" s="39" t="s">
        <v>175</v>
      </c>
      <c r="B22" s="39" t="s">
        <v>176</v>
      </c>
      <c r="C22" s="40"/>
      <c r="D22" s="30"/>
      <c r="E22" s="30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3">
    <mergeCell ref="A2:E2"/>
    <mergeCell ref="A3:E3"/>
    <mergeCell ref="A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KPI Validation</vt:lpstr>
      <vt:lpstr>Data Quality</vt:lpstr>
      <vt:lpstr>Segment Validation</vt:lpstr>
      <vt:lpstr>Issue Log</vt:lpstr>
      <vt:lpstr>Week 8 Readiness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Oluwagbade Bada</cp:lastModifiedBy>
  <dcterms:modified xsi:type="dcterms:W3CDTF">2026-09-29T07:20:29Z</dcterms:modified>
</cp:coreProperties>
</file>